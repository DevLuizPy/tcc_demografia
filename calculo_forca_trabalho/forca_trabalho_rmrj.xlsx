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isel\PycharmProjects\Tcc_demografia\"/>
    </mc:Choice>
  </mc:AlternateContent>
  <xr:revisionPtr revIDLastSave="0" documentId="13_ncr:1_{B2438BE4-798B-4AB8-819D-5DD705AFDE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E24" i="1" s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I15" i="1"/>
  <c r="H15" i="1"/>
  <c r="G15" i="1"/>
  <c r="F15" i="1"/>
  <c r="E15" i="1"/>
  <c r="D16" i="1"/>
  <c r="D17" i="1"/>
  <c r="D18" i="1"/>
  <c r="D19" i="1"/>
  <c r="D20" i="1"/>
  <c r="D21" i="1"/>
  <c r="D24" i="1" s="1"/>
  <c r="D22" i="1"/>
  <c r="D23" i="1"/>
  <c r="D15" i="1"/>
  <c r="E11" i="1"/>
  <c r="F11" i="1"/>
  <c r="G11" i="1"/>
  <c r="H11" i="1"/>
  <c r="I11" i="1"/>
  <c r="D11" i="1"/>
  <c r="G24" i="1"/>
  <c r="H24" i="1"/>
  <c r="I24" i="1"/>
  <c r="F24" i="1" l="1"/>
</calcChain>
</file>

<file path=xl/sharedStrings.xml><?xml version="1.0" encoding="utf-8"?>
<sst xmlns="http://schemas.openxmlformats.org/spreadsheetml/2006/main" count="34" uniqueCount="11">
  <si>
    <t>Situacao</t>
  </si>
  <si>
    <t>Nível educacional</t>
  </si>
  <si>
    <t>Sexo</t>
  </si>
  <si>
    <t>Fora da força de trabalho</t>
  </si>
  <si>
    <t>Na força de trabalho</t>
  </si>
  <si>
    <t>Ensino fundamental completo</t>
  </si>
  <si>
    <t>Homem</t>
  </si>
  <si>
    <t>Mulher</t>
  </si>
  <si>
    <t>Ensino fundamental incompleto</t>
  </si>
  <si>
    <t>Ensino médio completo</t>
  </si>
  <si>
    <t>Ensino superior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</si>
</sst>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/>
    <xf numFmtId="0" fontId="3" fillId="0" borderId="5" xfId="0" applyFont="1" applyBorder="1" applyAlignment="1">
      <alignment horizontal="center" vertical="center"/>
    </xf>
    <xf numFmtId="165" fontId="3" fillId="0" borderId="6" xfId="1" applyNumberFormat="1" applyFont="1" applyBorder="1"/>
    <xf numFmtId="0" fontId="3" fillId="0" borderId="7" xfId="0" applyFont="1" applyBorder="1"/>
    <xf numFmtId="0" fontId="3" fillId="0" borderId="8" xfId="0" applyFont="1" applyBorder="1"/>
    <xf numFmtId="165" fontId="3" fillId="0" borderId="8" xfId="1" applyNumberFormat="1" applyFont="1" applyBorder="1"/>
    <xf numFmtId="165" fontId="3" fillId="0" borderId="9" xfId="1" applyNumberFormat="1" applyFont="1" applyBorder="1"/>
    <xf numFmtId="0" fontId="3" fillId="0" borderId="1" xfId="0" applyFont="1" applyBorder="1" applyAlignment="1">
      <alignment horizontal="center"/>
    </xf>
    <xf numFmtId="165" fontId="0" fillId="0" borderId="0" xfId="0" applyNumberFormat="1"/>
    <xf numFmtId="10" fontId="3" fillId="0" borderId="1" xfId="2" applyNumberFormat="1" applyFont="1" applyBorder="1"/>
    <xf numFmtId="9" fontId="0" fillId="0" borderId="0" xfId="2" applyFont="1"/>
    <xf numFmtId="10" fontId="3" fillId="0" borderId="6" xfId="2" applyNumberFormat="1" applyFont="1" applyBorder="1"/>
    <xf numFmtId="10" fontId="3" fillId="0" borderId="8" xfId="2" applyNumberFormat="1" applyFont="1" applyBorder="1"/>
    <xf numFmtId="10" fontId="3" fillId="0" borderId="9" xfId="2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45" zoomScaleNormal="145" workbookViewId="0">
      <selection activeCell="B10" sqref="B10"/>
    </sheetView>
  </sheetViews>
  <sheetFormatPr defaultRowHeight="15" x14ac:dyDescent="0.25"/>
  <cols>
    <col min="1" max="1" width="32.28515625" bestFit="1" customWidth="1"/>
    <col min="2" max="2" width="40" bestFit="1" customWidth="1"/>
    <col min="3" max="3" width="10.85546875" bestFit="1" customWidth="1"/>
    <col min="4" max="8" width="19.5703125" bestFit="1" customWidth="1"/>
    <col min="9" max="9" width="17.140625" bestFit="1" customWidth="1"/>
  </cols>
  <sheetData>
    <row r="1" spans="1:9" ht="18" x14ac:dyDescent="0.25">
      <c r="A1" s="1" t="s">
        <v>0</v>
      </c>
      <c r="B1" s="2" t="s">
        <v>1</v>
      </c>
      <c r="C1" s="2" t="s">
        <v>2</v>
      </c>
      <c r="D1" s="2">
        <v>2010</v>
      </c>
      <c r="E1" s="2">
        <v>2000</v>
      </c>
      <c r="F1" s="2">
        <v>1991</v>
      </c>
      <c r="G1" s="2">
        <v>1980</v>
      </c>
      <c r="H1" s="2">
        <v>1970</v>
      </c>
      <c r="I1" s="3">
        <v>1960</v>
      </c>
    </row>
    <row r="2" spans="1:9" ht="18" x14ac:dyDescent="0.25">
      <c r="A2" s="6" t="s">
        <v>4</v>
      </c>
      <c r="B2" s="4" t="s">
        <v>5</v>
      </c>
      <c r="C2" s="12" t="s">
        <v>6</v>
      </c>
      <c r="D2" s="5">
        <v>713010.06</v>
      </c>
      <c r="E2" s="5">
        <v>628642.35</v>
      </c>
      <c r="F2" s="5">
        <v>480993.57</v>
      </c>
      <c r="G2" s="5">
        <v>357895</v>
      </c>
      <c r="H2" s="5">
        <v>196563</v>
      </c>
      <c r="I2" s="7">
        <v>26075</v>
      </c>
    </row>
    <row r="3" spans="1:9" ht="18" x14ac:dyDescent="0.25">
      <c r="A3" s="6"/>
      <c r="B3" s="4"/>
      <c r="C3" s="12" t="s">
        <v>7</v>
      </c>
      <c r="D3" s="5">
        <v>549959.52</v>
      </c>
      <c r="E3" s="5">
        <v>426971.29</v>
      </c>
      <c r="F3" s="5">
        <v>241211.5</v>
      </c>
      <c r="G3" s="5">
        <v>143091</v>
      </c>
      <c r="H3" s="5">
        <v>64342</v>
      </c>
      <c r="I3" s="7">
        <v>6795</v>
      </c>
    </row>
    <row r="4" spans="1:9" ht="18" x14ac:dyDescent="0.25">
      <c r="A4" s="6"/>
      <c r="B4" s="4" t="s">
        <v>8</v>
      </c>
      <c r="C4" s="12" t="s">
        <v>6</v>
      </c>
      <c r="D4" s="5">
        <v>573875.97</v>
      </c>
      <c r="E4" s="5">
        <v>750025.93</v>
      </c>
      <c r="F4" s="5">
        <v>826230.79</v>
      </c>
      <c r="G4" s="5">
        <v>918118</v>
      </c>
      <c r="H4" s="5">
        <v>891765</v>
      </c>
      <c r="I4" s="7">
        <v>336295</v>
      </c>
    </row>
    <row r="5" spans="1:9" ht="18" x14ac:dyDescent="0.25">
      <c r="A5" s="6"/>
      <c r="B5" s="4"/>
      <c r="C5" s="12" t="s">
        <v>7</v>
      </c>
      <c r="D5" s="5">
        <v>421962.68</v>
      </c>
      <c r="E5" s="5">
        <v>519674.16</v>
      </c>
      <c r="F5" s="5">
        <v>473295.32</v>
      </c>
      <c r="G5" s="5">
        <v>398852</v>
      </c>
      <c r="H5" s="5">
        <v>263619</v>
      </c>
      <c r="I5" s="7">
        <v>40405</v>
      </c>
    </row>
    <row r="6" spans="1:9" ht="18" x14ac:dyDescent="0.25">
      <c r="A6" s="6"/>
      <c r="B6" s="4" t="s">
        <v>9</v>
      </c>
      <c r="C6" s="12" t="s">
        <v>6</v>
      </c>
      <c r="D6" s="5">
        <v>926205.41</v>
      </c>
      <c r="E6" s="5">
        <v>586894.36</v>
      </c>
      <c r="F6" s="5">
        <v>436791.73</v>
      </c>
      <c r="G6" s="5">
        <v>235173</v>
      </c>
      <c r="H6" s="5">
        <v>104054</v>
      </c>
      <c r="I6" s="7">
        <v>10310</v>
      </c>
    </row>
    <row r="7" spans="1:9" ht="18" x14ac:dyDescent="0.25">
      <c r="A7" s="6"/>
      <c r="B7" s="4"/>
      <c r="C7" s="12" t="s">
        <v>7</v>
      </c>
      <c r="D7" s="5">
        <v>768549.25</v>
      </c>
      <c r="E7" s="5">
        <v>481553.9</v>
      </c>
      <c r="F7" s="5">
        <v>299817.2</v>
      </c>
      <c r="G7" s="5">
        <v>147010</v>
      </c>
      <c r="H7" s="5">
        <v>61981</v>
      </c>
      <c r="I7" s="7">
        <v>3445</v>
      </c>
    </row>
    <row r="8" spans="1:9" ht="18" x14ac:dyDescent="0.25">
      <c r="A8" s="6"/>
      <c r="B8" s="4" t="s">
        <v>10</v>
      </c>
      <c r="C8" s="12" t="s">
        <v>6</v>
      </c>
      <c r="D8" s="5">
        <v>442194.05</v>
      </c>
      <c r="E8" s="5">
        <v>280194.34000000003</v>
      </c>
      <c r="F8" s="5">
        <v>257531.87</v>
      </c>
      <c r="G8" s="5">
        <v>163116</v>
      </c>
      <c r="H8" s="5">
        <v>83161</v>
      </c>
      <c r="I8" s="7">
        <v>6790</v>
      </c>
    </row>
    <row r="9" spans="1:9" ht="18" x14ac:dyDescent="0.25">
      <c r="A9" s="6"/>
      <c r="B9" s="4"/>
      <c r="C9" s="12" t="s">
        <v>7</v>
      </c>
      <c r="D9" s="5">
        <v>487236.44</v>
      </c>
      <c r="E9" s="5">
        <v>270704.2</v>
      </c>
      <c r="F9" s="5">
        <v>204007.56</v>
      </c>
      <c r="G9" s="5">
        <v>91427</v>
      </c>
      <c r="H9" s="5">
        <v>20751</v>
      </c>
      <c r="I9" s="7">
        <v>925</v>
      </c>
    </row>
    <row r="10" spans="1:9" ht="18.75" thickBot="1" x14ac:dyDescent="0.3">
      <c r="A10" s="8" t="s">
        <v>3</v>
      </c>
      <c r="B10" s="9"/>
      <c r="C10" s="9"/>
      <c r="D10" s="10">
        <v>2669038.7499999991</v>
      </c>
      <c r="E10" s="10">
        <v>2334285.02</v>
      </c>
      <c r="F10" s="10">
        <v>2182658.48</v>
      </c>
      <c r="G10" s="10">
        <v>1876694</v>
      </c>
      <c r="H10" s="10">
        <v>1512037</v>
      </c>
      <c r="I10" s="11">
        <v>416535</v>
      </c>
    </row>
    <row r="11" spans="1:9" x14ac:dyDescent="0.25">
      <c r="D11" s="13">
        <f>SUM(D2:D10)</f>
        <v>7552032.1299999999</v>
      </c>
      <c r="E11" s="13">
        <f t="shared" ref="E11:I11" si="0">SUM(E2:E10)</f>
        <v>6278945.5499999998</v>
      </c>
      <c r="F11" s="13">
        <f t="shared" si="0"/>
        <v>5402538.0200000005</v>
      </c>
      <c r="G11" s="13">
        <f t="shared" si="0"/>
        <v>4331376</v>
      </c>
      <c r="H11" s="13">
        <f t="shared" si="0"/>
        <v>3198273</v>
      </c>
      <c r="I11" s="13">
        <f t="shared" si="0"/>
        <v>847575</v>
      </c>
    </row>
    <row r="13" spans="1:9" ht="15.75" thickBot="1" x14ac:dyDescent="0.3"/>
    <row r="14" spans="1:9" ht="18" x14ac:dyDescent="0.25">
      <c r="A14" s="1" t="s">
        <v>0</v>
      </c>
      <c r="B14" s="2" t="s">
        <v>1</v>
      </c>
      <c r="C14" s="2" t="s">
        <v>2</v>
      </c>
      <c r="D14" s="2">
        <v>2010</v>
      </c>
      <c r="E14" s="2">
        <v>2000</v>
      </c>
      <c r="F14" s="2">
        <v>1991</v>
      </c>
      <c r="G14" s="2">
        <v>1980</v>
      </c>
      <c r="H14" s="2">
        <v>1970</v>
      </c>
      <c r="I14" s="3">
        <v>1960</v>
      </c>
    </row>
    <row r="15" spans="1:9" ht="18" x14ac:dyDescent="0.25">
      <c r="A15" s="6" t="s">
        <v>4</v>
      </c>
      <c r="B15" s="4" t="s">
        <v>5</v>
      </c>
      <c r="C15" s="12" t="s">
        <v>6</v>
      </c>
      <c r="D15" s="14">
        <f>D2/$D$11</f>
        <v>9.44130066883071E-2</v>
      </c>
      <c r="E15" s="14">
        <f>E2/$E$11</f>
        <v>0.10011909563382024</v>
      </c>
      <c r="F15" s="14">
        <f>F2/$F$11</f>
        <v>8.9031038415533434E-2</v>
      </c>
      <c r="G15" s="14">
        <f>G2/$G$11</f>
        <v>8.2628476493382244E-2</v>
      </c>
      <c r="H15" s="14">
        <f>H2/$H$11</f>
        <v>6.1459106211383459E-2</v>
      </c>
      <c r="I15" s="16">
        <f>I2/$I$11</f>
        <v>3.0764239152877328E-2</v>
      </c>
    </row>
    <row r="16" spans="1:9" ht="18" x14ac:dyDescent="0.25">
      <c r="A16" s="6"/>
      <c r="B16" s="4"/>
      <c r="C16" s="12" t="s">
        <v>7</v>
      </c>
      <c r="D16" s="14">
        <f t="shared" ref="D16:D23" si="1">D3/$D$11</f>
        <v>7.2822719836601116E-2</v>
      </c>
      <c r="E16" s="14">
        <f t="shared" ref="E16:E23" si="2">E3/$E$11</f>
        <v>6.8000476608687896E-2</v>
      </c>
      <c r="F16" s="14">
        <f t="shared" ref="F16:F23" si="3">F3/$F$11</f>
        <v>4.4647811659454084E-2</v>
      </c>
      <c r="G16" s="14">
        <f t="shared" ref="G16:G23" si="4">G3/$G$11</f>
        <v>3.3035922071877388E-2</v>
      </c>
      <c r="H16" s="14">
        <f t="shared" ref="H16:H23" si="5">H3/$H$11</f>
        <v>2.0117732288644528E-2</v>
      </c>
      <c r="I16" s="16">
        <f t="shared" ref="I16:I23" si="6">I3/$I$11</f>
        <v>8.0169896469338992E-3</v>
      </c>
    </row>
    <row r="17" spans="1:9" ht="18" x14ac:dyDescent="0.25">
      <c r="A17" s="6"/>
      <c r="B17" s="4" t="s">
        <v>8</v>
      </c>
      <c r="C17" s="12" t="s">
        <v>6</v>
      </c>
      <c r="D17" s="14">
        <f t="shared" si="1"/>
        <v>7.5989609170267133E-2</v>
      </c>
      <c r="E17" s="14">
        <f t="shared" si="2"/>
        <v>0.11945093710838121</v>
      </c>
      <c r="F17" s="14">
        <f t="shared" si="3"/>
        <v>0.15293382238890749</v>
      </c>
      <c r="G17" s="14">
        <f t="shared" si="4"/>
        <v>0.21196912944062118</v>
      </c>
      <c r="H17" s="14">
        <f t="shared" si="5"/>
        <v>0.27882704196921276</v>
      </c>
      <c r="I17" s="16">
        <f t="shared" si="6"/>
        <v>0.39677314691915172</v>
      </c>
    </row>
    <row r="18" spans="1:9" ht="18" x14ac:dyDescent="0.25">
      <c r="A18" s="6"/>
      <c r="B18" s="4"/>
      <c r="C18" s="12" t="s">
        <v>7</v>
      </c>
      <c r="D18" s="14">
        <f t="shared" si="1"/>
        <v>5.5874057834550024E-2</v>
      </c>
      <c r="E18" s="14">
        <f t="shared" si="2"/>
        <v>8.2764559090658149E-2</v>
      </c>
      <c r="F18" s="14">
        <f t="shared" si="3"/>
        <v>8.760610628705949E-2</v>
      </c>
      <c r="G18" s="14">
        <f t="shared" si="4"/>
        <v>9.2084363029208263E-2</v>
      </c>
      <c r="H18" s="14">
        <f t="shared" si="5"/>
        <v>8.2425421469649401E-2</v>
      </c>
      <c r="I18" s="16">
        <f t="shared" si="6"/>
        <v>4.7671297525292748E-2</v>
      </c>
    </row>
    <row r="19" spans="1:9" ht="18" x14ac:dyDescent="0.25">
      <c r="A19" s="6"/>
      <c r="B19" s="4" t="s">
        <v>9</v>
      </c>
      <c r="C19" s="12" t="s">
        <v>6</v>
      </c>
      <c r="D19" s="14">
        <f t="shared" si="1"/>
        <v>0.12264320305533447</v>
      </c>
      <c r="E19" s="14">
        <f t="shared" si="2"/>
        <v>9.3470210137433035E-2</v>
      </c>
      <c r="F19" s="14">
        <f t="shared" si="3"/>
        <v>8.0849357909747746E-2</v>
      </c>
      <c r="G19" s="14">
        <f t="shared" si="4"/>
        <v>5.4295217039573566E-2</v>
      </c>
      <c r="H19" s="14">
        <f t="shared" si="5"/>
        <v>3.2534433427040155E-2</v>
      </c>
      <c r="I19" s="16">
        <f t="shared" si="6"/>
        <v>1.21641152700351E-2</v>
      </c>
    </row>
    <row r="20" spans="1:9" ht="18" x14ac:dyDescent="0.25">
      <c r="A20" s="6"/>
      <c r="B20" s="4"/>
      <c r="C20" s="12" t="s">
        <v>7</v>
      </c>
      <c r="D20" s="14">
        <f t="shared" si="1"/>
        <v>0.10176721136381077</v>
      </c>
      <c r="E20" s="14">
        <f t="shared" si="2"/>
        <v>7.6693434616581443E-2</v>
      </c>
      <c r="F20" s="14">
        <f t="shared" si="3"/>
        <v>5.5495620556502812E-2</v>
      </c>
      <c r="G20" s="14">
        <f t="shared" si="4"/>
        <v>3.3940715375437275E-2</v>
      </c>
      <c r="H20" s="14">
        <f t="shared" si="5"/>
        <v>1.9379521385447709E-2</v>
      </c>
      <c r="I20" s="16">
        <f t="shared" si="6"/>
        <v>4.0645370616169659E-3</v>
      </c>
    </row>
    <row r="21" spans="1:9" ht="18" x14ac:dyDescent="0.25">
      <c r="A21" s="6"/>
      <c r="B21" s="4" t="s">
        <v>10</v>
      </c>
      <c r="C21" s="12" t="s">
        <v>6</v>
      </c>
      <c r="D21" s="14">
        <f t="shared" si="1"/>
        <v>5.8552988439152735E-2</v>
      </c>
      <c r="E21" s="14">
        <f t="shared" si="2"/>
        <v>4.4624425832136744E-2</v>
      </c>
      <c r="F21" s="14">
        <f t="shared" si="3"/>
        <v>4.766868257967391E-2</v>
      </c>
      <c r="G21" s="14">
        <f t="shared" si="4"/>
        <v>3.7659164200937532E-2</v>
      </c>
      <c r="H21" s="14">
        <f t="shared" si="5"/>
        <v>2.6001845370923621E-2</v>
      </c>
      <c r="I21" s="16">
        <f t="shared" si="6"/>
        <v>8.0110904639707405E-3</v>
      </c>
    </row>
    <row r="22" spans="1:9" ht="18" x14ac:dyDescent="0.25">
      <c r="A22" s="6"/>
      <c r="B22" s="4"/>
      <c r="C22" s="12" t="s">
        <v>7</v>
      </c>
      <c r="D22" s="14">
        <f t="shared" si="1"/>
        <v>6.4517262587440824E-2</v>
      </c>
      <c r="E22" s="14">
        <f t="shared" si="2"/>
        <v>4.3113003265333301E-2</v>
      </c>
      <c r="F22" s="14">
        <f t="shared" si="3"/>
        <v>3.7761429765930637E-2</v>
      </c>
      <c r="G22" s="14">
        <f t="shared" si="4"/>
        <v>2.1108072815659504E-2</v>
      </c>
      <c r="H22" s="14">
        <f t="shared" si="5"/>
        <v>6.4881890945519662E-3</v>
      </c>
      <c r="I22" s="16">
        <f t="shared" si="6"/>
        <v>1.0913488481845265E-3</v>
      </c>
    </row>
    <row r="23" spans="1:9" ht="18.75" thickBot="1" x14ac:dyDescent="0.3">
      <c r="A23" s="8" t="s">
        <v>3</v>
      </c>
      <c r="B23" s="9"/>
      <c r="C23" s="9"/>
      <c r="D23" s="17">
        <f t="shared" si="1"/>
        <v>0.35341994102453578</v>
      </c>
      <c r="E23" s="17">
        <f t="shared" si="2"/>
        <v>0.37176385770696802</v>
      </c>
      <c r="F23" s="17">
        <f t="shared" si="3"/>
        <v>0.4040061304371903</v>
      </c>
      <c r="G23" s="17">
        <f t="shared" si="4"/>
        <v>0.43327893953330304</v>
      </c>
      <c r="H23" s="17">
        <f t="shared" si="5"/>
        <v>0.47276670878314642</v>
      </c>
      <c r="I23" s="18">
        <f t="shared" si="6"/>
        <v>0.49144323511193699</v>
      </c>
    </row>
    <row r="24" spans="1:9" x14ac:dyDescent="0.25">
      <c r="D24" s="15">
        <f>SUM(D15:D23)</f>
        <v>0.99999999999999989</v>
      </c>
      <c r="E24" s="15">
        <f t="shared" ref="E24:I24" si="7">SUM(E15:E23)</f>
        <v>1</v>
      </c>
      <c r="F24" s="15">
        <f t="shared" si="7"/>
        <v>1</v>
      </c>
      <c r="G24" s="15">
        <f t="shared" si="7"/>
        <v>1</v>
      </c>
      <c r="H24" s="15">
        <f t="shared" si="7"/>
        <v>1</v>
      </c>
      <c r="I24" s="15">
        <f t="shared" si="7"/>
        <v>1</v>
      </c>
    </row>
  </sheetData>
  <mergeCells count="10">
    <mergeCell ref="A15:A22"/>
    <mergeCell ref="B15:B16"/>
    <mergeCell ref="B17:B18"/>
    <mergeCell ref="B19:B20"/>
    <mergeCell ref="B21:B22"/>
    <mergeCell ref="B2:B3"/>
    <mergeCell ref="B4:B5"/>
    <mergeCell ref="B6:B7"/>
    <mergeCell ref="B8:B9"/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Meirinho</cp:lastModifiedBy>
  <dcterms:created xsi:type="dcterms:W3CDTF">2025-04-07T17:22:10Z</dcterms:created>
  <dcterms:modified xsi:type="dcterms:W3CDTF">2025-04-07T18:28:56Z</dcterms:modified>
</cp:coreProperties>
</file>