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isel\PycharmProjects\Tcc_demografia\calculo_forca_trabalho\"/>
    </mc:Choice>
  </mc:AlternateContent>
  <xr:revisionPtr revIDLastSave="0" documentId="13_ncr:1_{4168E0A3-BE33-4766-BA6F-C76F95E3132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F24" i="1"/>
  <c r="G24" i="1"/>
  <c r="H24" i="1"/>
  <c r="I24" i="1"/>
  <c r="D24" i="1"/>
  <c r="E16" i="1"/>
  <c r="F16" i="1"/>
  <c r="G16" i="1"/>
  <c r="H16" i="1"/>
  <c r="I16" i="1"/>
  <c r="E17" i="1"/>
  <c r="F17" i="1"/>
  <c r="G17" i="1"/>
  <c r="H17" i="1"/>
  <c r="I17" i="1"/>
  <c r="E18" i="1"/>
  <c r="F18" i="1"/>
  <c r="G18" i="1"/>
  <c r="H18" i="1"/>
  <c r="I18" i="1"/>
  <c r="E19" i="1"/>
  <c r="F19" i="1"/>
  <c r="G19" i="1"/>
  <c r="H19" i="1"/>
  <c r="I19" i="1"/>
  <c r="E20" i="1"/>
  <c r="F20" i="1"/>
  <c r="G20" i="1"/>
  <c r="H20" i="1"/>
  <c r="I20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I15" i="1"/>
  <c r="H15" i="1"/>
  <c r="G15" i="1"/>
  <c r="F15" i="1"/>
  <c r="E15" i="1"/>
  <c r="D16" i="1"/>
  <c r="D17" i="1"/>
  <c r="D18" i="1"/>
  <c r="D19" i="1"/>
  <c r="D20" i="1"/>
  <c r="D21" i="1"/>
  <c r="D22" i="1"/>
  <c r="D23" i="1"/>
  <c r="D15" i="1"/>
  <c r="D11" i="1"/>
  <c r="E11" i="1"/>
  <c r="F11" i="1"/>
  <c r="G11" i="1"/>
  <c r="H11" i="1"/>
  <c r="I11" i="1"/>
</calcChain>
</file>

<file path=xl/sharedStrings.xml><?xml version="1.0" encoding="utf-8"?>
<sst xmlns="http://schemas.openxmlformats.org/spreadsheetml/2006/main" count="56" uniqueCount="11">
  <si>
    <t>Situacao</t>
  </si>
  <si>
    <t>Nível educacional</t>
  </si>
  <si>
    <t>Sexo</t>
  </si>
  <si>
    <t>Fora da força de trabalho</t>
  </si>
  <si>
    <t>Na força de trabalho</t>
  </si>
  <si>
    <t>Ensino fundamental completo</t>
  </si>
  <si>
    <t>Homem</t>
  </si>
  <si>
    <t>Mulher</t>
  </si>
  <si>
    <t>Ensino fundamental incompleto</t>
  </si>
  <si>
    <t>Ensino médio completo</t>
  </si>
  <si>
    <t>Ensino superior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</si>
</sst>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/>
    <xf numFmtId="164" fontId="3" fillId="0" borderId="6" xfId="1" applyNumberFormat="1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164" fontId="3" fillId="0" borderId="9" xfId="1" applyNumberFormat="1" applyFont="1" applyBorder="1"/>
    <xf numFmtId="164" fontId="0" fillId="0" borderId="0" xfId="0" applyNumberFormat="1"/>
    <xf numFmtId="9" fontId="0" fillId="0" borderId="0" xfId="2" applyFont="1"/>
    <xf numFmtId="10" fontId="3" fillId="0" borderId="1" xfId="2" applyNumberFormat="1" applyFont="1" applyBorder="1"/>
    <xf numFmtId="10" fontId="3" fillId="0" borderId="6" xfId="2" applyNumberFormat="1" applyFont="1" applyBorder="1"/>
    <xf numFmtId="10" fontId="3" fillId="0" borderId="8" xfId="2" applyNumberFormat="1" applyFont="1" applyBorder="1"/>
    <xf numFmtId="10" fontId="3" fillId="0" borderId="9" xfId="2" applyNumberFormat="1" applyFon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45" zoomScaleNormal="145" workbookViewId="0">
      <selection activeCell="D12" sqref="D12"/>
    </sheetView>
  </sheetViews>
  <sheetFormatPr defaultRowHeight="15" x14ac:dyDescent="0.25"/>
  <cols>
    <col min="1" max="1" width="32.28515625" bestFit="1" customWidth="1"/>
    <col min="2" max="2" width="40" bestFit="1" customWidth="1"/>
    <col min="3" max="3" width="10.85546875" bestFit="1" customWidth="1"/>
    <col min="4" max="9" width="17.140625" bestFit="1" customWidth="1"/>
  </cols>
  <sheetData>
    <row r="1" spans="1:9" ht="18" x14ac:dyDescent="0.25">
      <c r="A1" s="1" t="s">
        <v>0</v>
      </c>
      <c r="B1" s="2" t="s">
        <v>1</v>
      </c>
      <c r="C1" s="2" t="s">
        <v>2</v>
      </c>
      <c r="D1" s="2">
        <v>2010</v>
      </c>
      <c r="E1" s="2">
        <v>2000</v>
      </c>
      <c r="F1" s="2">
        <v>1991</v>
      </c>
      <c r="G1" s="2">
        <v>1980</v>
      </c>
      <c r="H1" s="2">
        <v>1970</v>
      </c>
      <c r="I1" s="3">
        <v>1960</v>
      </c>
    </row>
    <row r="2" spans="1:9" ht="18" x14ac:dyDescent="0.25">
      <c r="A2" s="4" t="s">
        <v>4</v>
      </c>
      <c r="B2" s="5" t="s">
        <v>5</v>
      </c>
      <c r="C2" s="6" t="s">
        <v>6</v>
      </c>
      <c r="D2" s="7">
        <v>10849463.01</v>
      </c>
      <c r="E2" s="7">
        <v>7312984.7199999997</v>
      </c>
      <c r="F2" s="7">
        <v>4587589.95</v>
      </c>
      <c r="G2" s="7">
        <v>2215191</v>
      </c>
      <c r="H2" s="7">
        <v>981129</v>
      </c>
      <c r="I2" s="8">
        <v>481810</v>
      </c>
    </row>
    <row r="3" spans="1:9" ht="18" x14ac:dyDescent="0.25">
      <c r="A3" s="4" t="s">
        <v>4</v>
      </c>
      <c r="B3" s="5" t="s">
        <v>5</v>
      </c>
      <c r="C3" s="6" t="s">
        <v>7</v>
      </c>
      <c r="D3" s="7">
        <v>7602516.6900000004</v>
      </c>
      <c r="E3" s="7">
        <v>4753524.1399999997</v>
      </c>
      <c r="F3" s="7">
        <v>2137962.17</v>
      </c>
      <c r="G3" s="7">
        <v>831931</v>
      </c>
      <c r="H3" s="7">
        <v>282090</v>
      </c>
      <c r="I3" s="8">
        <v>149185</v>
      </c>
    </row>
    <row r="4" spans="1:9" ht="18" x14ac:dyDescent="0.25">
      <c r="A4" s="4" t="s">
        <v>4</v>
      </c>
      <c r="B4" s="5" t="s">
        <v>8</v>
      </c>
      <c r="C4" s="6" t="s">
        <v>6</v>
      </c>
      <c r="D4" s="7">
        <v>14748437.960000001</v>
      </c>
      <c r="E4" s="7">
        <v>17710224.82</v>
      </c>
      <c r="F4" s="7">
        <v>17784294.609999999</v>
      </c>
      <c r="G4" s="7">
        <v>15868724</v>
      </c>
      <c r="H4" s="7">
        <v>14004334</v>
      </c>
      <c r="I4" s="8">
        <v>12227875</v>
      </c>
    </row>
    <row r="5" spans="1:9" ht="18" x14ac:dyDescent="0.25">
      <c r="A5" s="4" t="s">
        <v>4</v>
      </c>
      <c r="B5" s="5" t="s">
        <v>8</v>
      </c>
      <c r="C5" s="6" t="s">
        <v>7</v>
      </c>
      <c r="D5" s="7">
        <v>8533739.9900000002</v>
      </c>
      <c r="E5" s="7">
        <v>9223430.4199999999</v>
      </c>
      <c r="F5" s="7">
        <v>6535723.1799999997</v>
      </c>
      <c r="G5" s="7">
        <v>4348656</v>
      </c>
      <c r="H5" s="7">
        <v>2545179</v>
      </c>
      <c r="I5" s="8">
        <v>1902805</v>
      </c>
    </row>
    <row r="6" spans="1:9" ht="18" x14ac:dyDescent="0.25">
      <c r="A6" s="4" t="s">
        <v>4</v>
      </c>
      <c r="B6" s="5" t="s">
        <v>9</v>
      </c>
      <c r="C6" s="6" t="s">
        <v>6</v>
      </c>
      <c r="D6" s="7">
        <v>11093281.67</v>
      </c>
      <c r="E6" s="7">
        <v>5898725.6600000001</v>
      </c>
      <c r="F6" s="7">
        <v>3496789.29</v>
      </c>
      <c r="G6" s="7">
        <v>1475749</v>
      </c>
      <c r="H6" s="7">
        <v>538029</v>
      </c>
      <c r="I6" s="8">
        <v>267035</v>
      </c>
    </row>
    <row r="7" spans="1:9" ht="18" x14ac:dyDescent="0.25">
      <c r="A7" s="4" t="s">
        <v>4</v>
      </c>
      <c r="B7" s="5" t="s">
        <v>9</v>
      </c>
      <c r="C7" s="6" t="s">
        <v>7</v>
      </c>
      <c r="D7" s="7">
        <v>9898226.8100000005</v>
      </c>
      <c r="E7" s="7">
        <v>5524518.7599999998</v>
      </c>
      <c r="F7" s="7">
        <v>2784805.55</v>
      </c>
      <c r="G7" s="7">
        <v>1109220</v>
      </c>
      <c r="H7" s="7">
        <v>402823</v>
      </c>
      <c r="I7" s="8">
        <v>125135</v>
      </c>
    </row>
    <row r="8" spans="1:9" ht="18" x14ac:dyDescent="0.25">
      <c r="A8" s="4" t="s">
        <v>4</v>
      </c>
      <c r="B8" s="5" t="s">
        <v>10</v>
      </c>
      <c r="C8" s="6" t="s">
        <v>6</v>
      </c>
      <c r="D8" s="7">
        <v>4651362.34</v>
      </c>
      <c r="E8" s="7">
        <v>2316419.48</v>
      </c>
      <c r="F8" s="7">
        <v>1756375.76</v>
      </c>
      <c r="G8" s="7">
        <v>904247</v>
      </c>
      <c r="H8" s="7">
        <v>371228</v>
      </c>
      <c r="I8" s="8">
        <v>193420</v>
      </c>
    </row>
    <row r="9" spans="1:9" ht="18" x14ac:dyDescent="0.25">
      <c r="A9" s="4" t="s">
        <v>4</v>
      </c>
      <c r="B9" s="5" t="s">
        <v>10</v>
      </c>
      <c r="C9" s="6" t="s">
        <v>7</v>
      </c>
      <c r="D9" s="7">
        <v>5845497.4000000004</v>
      </c>
      <c r="E9" s="7">
        <v>2294472.7599999998</v>
      </c>
      <c r="F9" s="7">
        <v>1439045.95</v>
      </c>
      <c r="G9" s="7">
        <v>506408</v>
      </c>
      <c r="H9" s="7">
        <v>90129</v>
      </c>
      <c r="I9" s="8">
        <v>18590</v>
      </c>
    </row>
    <row r="10" spans="1:9" ht="18.75" thickBot="1" x14ac:dyDescent="0.3">
      <c r="A10" s="9" t="s">
        <v>3</v>
      </c>
      <c r="B10" s="10"/>
      <c r="C10" s="10"/>
      <c r="D10" s="11">
        <v>37369861.959999993</v>
      </c>
      <c r="E10" s="11">
        <v>30435662.56000001</v>
      </c>
      <c r="F10" s="11">
        <v>26721348.469999999</v>
      </c>
      <c r="G10" s="11">
        <v>21160623</v>
      </c>
      <c r="H10" s="11">
        <v>16199148</v>
      </c>
      <c r="I10" s="12">
        <v>12972285</v>
      </c>
    </row>
    <row r="11" spans="1:9" x14ac:dyDescent="0.25">
      <c r="D11" s="13">
        <f t="shared" ref="D11:I11" si="0">SUM(D1:D10)</f>
        <v>110594397.83</v>
      </c>
      <c r="E11" s="13">
        <f t="shared" si="0"/>
        <v>85471963.320000008</v>
      </c>
      <c r="F11" s="13">
        <f t="shared" si="0"/>
        <v>67245925.930000007</v>
      </c>
      <c r="G11" s="13">
        <f t="shared" si="0"/>
        <v>48422729</v>
      </c>
      <c r="H11" s="13">
        <f t="shared" si="0"/>
        <v>35416059</v>
      </c>
      <c r="I11" s="13">
        <f t="shared" si="0"/>
        <v>28340100</v>
      </c>
    </row>
    <row r="13" spans="1:9" ht="15.75" thickBot="1" x14ac:dyDescent="0.3"/>
    <row r="14" spans="1:9" ht="18" x14ac:dyDescent="0.25">
      <c r="A14" s="1" t="s">
        <v>0</v>
      </c>
      <c r="B14" s="2" t="s">
        <v>1</v>
      </c>
      <c r="C14" s="2" t="s">
        <v>2</v>
      </c>
      <c r="D14" s="2">
        <v>2010</v>
      </c>
      <c r="E14" s="2">
        <v>2000</v>
      </c>
      <c r="F14" s="2">
        <v>1991</v>
      </c>
      <c r="G14" s="2">
        <v>1980</v>
      </c>
      <c r="H14" s="2">
        <v>1970</v>
      </c>
      <c r="I14" s="3">
        <v>1960</v>
      </c>
    </row>
    <row r="15" spans="1:9" ht="18" x14ac:dyDescent="0.25">
      <c r="A15" s="4" t="s">
        <v>4</v>
      </c>
      <c r="B15" s="5" t="s">
        <v>5</v>
      </c>
      <c r="C15" s="6" t="s">
        <v>6</v>
      </c>
      <c r="D15" s="15">
        <f>D2/$D$11</f>
        <v>9.8101379661899649E-2</v>
      </c>
      <c r="E15" s="15">
        <f>E2/$E$11</f>
        <v>8.5560041397677811E-2</v>
      </c>
      <c r="F15" s="15">
        <f>F2/$F$11</f>
        <v>6.8221083828564955E-2</v>
      </c>
      <c r="G15" s="15">
        <f>G2/$G$11</f>
        <v>4.5746925994195824E-2</v>
      </c>
      <c r="H15" s="15">
        <f>H2/$H$11</f>
        <v>2.7702941199640535E-2</v>
      </c>
      <c r="I15" s="16">
        <f>I2/$I$11</f>
        <v>1.7000998585043808E-2</v>
      </c>
    </row>
    <row r="16" spans="1:9" ht="18" x14ac:dyDescent="0.25">
      <c r="A16" s="4" t="s">
        <v>4</v>
      </c>
      <c r="B16" s="5" t="s">
        <v>5</v>
      </c>
      <c r="C16" s="6" t="s">
        <v>7</v>
      </c>
      <c r="D16" s="15">
        <f t="shared" ref="D16:D23" si="1">D3/$D$11</f>
        <v>6.8742330888099751E-2</v>
      </c>
      <c r="E16" s="15">
        <f t="shared" ref="E16:E23" si="2">E3/$E$11</f>
        <v>5.5615010529279592E-2</v>
      </c>
      <c r="F16" s="15">
        <f t="shared" ref="F16:F23" si="3">F3/$F$11</f>
        <v>3.1793185095339793E-2</v>
      </c>
      <c r="G16" s="15">
        <f t="shared" ref="G16:G23" si="4">G3/$G$11</f>
        <v>1.7180588892459984E-2</v>
      </c>
      <c r="H16" s="15">
        <f t="shared" ref="H16:H23" si="5">H3/$H$11</f>
        <v>7.9650307788339744E-3</v>
      </c>
      <c r="I16" s="16">
        <f t="shared" ref="I16:I23" si="6">I3/$I$11</f>
        <v>5.2640957512499953E-3</v>
      </c>
    </row>
    <row r="17" spans="1:9" ht="18" x14ac:dyDescent="0.25">
      <c r="A17" s="4" t="s">
        <v>4</v>
      </c>
      <c r="B17" s="5" t="s">
        <v>8</v>
      </c>
      <c r="C17" s="6" t="s">
        <v>6</v>
      </c>
      <c r="D17" s="15">
        <f t="shared" si="1"/>
        <v>0.13335610346801235</v>
      </c>
      <c r="E17" s="15">
        <f t="shared" si="2"/>
        <v>0.20720507792355691</v>
      </c>
      <c r="F17" s="15">
        <f t="shared" si="3"/>
        <v>0.26446649910825309</v>
      </c>
      <c r="G17" s="15">
        <f t="shared" si="4"/>
        <v>0.32771230221245895</v>
      </c>
      <c r="H17" s="15">
        <f t="shared" si="5"/>
        <v>0.39542327394473792</v>
      </c>
      <c r="I17" s="16">
        <f t="shared" si="6"/>
        <v>0.431469013870805</v>
      </c>
    </row>
    <row r="18" spans="1:9" ht="18" x14ac:dyDescent="0.25">
      <c r="A18" s="4" t="s">
        <v>4</v>
      </c>
      <c r="B18" s="5" t="s">
        <v>8</v>
      </c>
      <c r="C18" s="6" t="s">
        <v>7</v>
      </c>
      <c r="D18" s="15">
        <f t="shared" si="1"/>
        <v>7.7162497897204751E-2</v>
      </c>
      <c r="E18" s="15">
        <f t="shared" si="2"/>
        <v>0.10791176500144538</v>
      </c>
      <c r="F18" s="15">
        <f t="shared" si="3"/>
        <v>9.7191362742233556E-2</v>
      </c>
      <c r="G18" s="15">
        <f t="shared" si="4"/>
        <v>8.9806090854565424E-2</v>
      </c>
      <c r="H18" s="15">
        <f t="shared" si="5"/>
        <v>7.1865110683263775E-2</v>
      </c>
      <c r="I18" s="16">
        <f t="shared" si="6"/>
        <v>6.7141788490513443E-2</v>
      </c>
    </row>
    <row r="19" spans="1:9" ht="18" x14ac:dyDescent="0.25">
      <c r="A19" s="4" t="s">
        <v>4</v>
      </c>
      <c r="B19" s="5" t="s">
        <v>9</v>
      </c>
      <c r="C19" s="6" t="s">
        <v>6</v>
      </c>
      <c r="D19" s="15">
        <f t="shared" si="1"/>
        <v>0.10030600001142934</v>
      </c>
      <c r="E19" s="15">
        <f t="shared" si="2"/>
        <v>6.9013573935533173E-2</v>
      </c>
      <c r="F19" s="15">
        <f t="shared" si="3"/>
        <v>5.2000016977087962E-2</v>
      </c>
      <c r="G19" s="15">
        <f t="shared" si="4"/>
        <v>3.0476369888198577E-2</v>
      </c>
      <c r="H19" s="15">
        <f t="shared" si="5"/>
        <v>1.5191667712096369E-2</v>
      </c>
      <c r="I19" s="16">
        <f t="shared" si="6"/>
        <v>9.4225143877403397E-3</v>
      </c>
    </row>
    <row r="20" spans="1:9" ht="18" x14ac:dyDescent="0.25">
      <c r="A20" s="4" t="s">
        <v>4</v>
      </c>
      <c r="B20" s="5" t="s">
        <v>9</v>
      </c>
      <c r="C20" s="6" t="s">
        <v>7</v>
      </c>
      <c r="D20" s="15">
        <f t="shared" si="1"/>
        <v>8.9500255023903144E-2</v>
      </c>
      <c r="E20" s="15">
        <f t="shared" si="2"/>
        <v>6.4635449396624425E-2</v>
      </c>
      <c r="F20" s="15">
        <f t="shared" si="3"/>
        <v>4.1412256749930952E-2</v>
      </c>
      <c r="G20" s="15">
        <f t="shared" si="4"/>
        <v>2.2907011292155798E-2</v>
      </c>
      <c r="H20" s="15">
        <f t="shared" si="5"/>
        <v>1.1374021033791478E-2</v>
      </c>
      <c r="I20" s="16">
        <f t="shared" si="6"/>
        <v>4.4154748924668582E-3</v>
      </c>
    </row>
    <row r="21" spans="1:9" ht="18" x14ac:dyDescent="0.25">
      <c r="A21" s="4" t="s">
        <v>4</v>
      </c>
      <c r="B21" s="5" t="s">
        <v>10</v>
      </c>
      <c r="C21" s="6" t="s">
        <v>6</v>
      </c>
      <c r="D21" s="15">
        <f t="shared" si="1"/>
        <v>4.2057847696316715E-2</v>
      </c>
      <c r="E21" s="15">
        <f t="shared" si="2"/>
        <v>2.7101512472897292E-2</v>
      </c>
      <c r="F21" s="15">
        <f t="shared" si="3"/>
        <v>2.6118693968587903E-2</v>
      </c>
      <c r="G21" s="15">
        <f t="shared" si="4"/>
        <v>1.8674019797603726E-2</v>
      </c>
      <c r="H21" s="15">
        <f t="shared" si="5"/>
        <v>1.0481911609645782E-2</v>
      </c>
      <c r="I21" s="16">
        <f t="shared" si="6"/>
        <v>6.8249582746708727E-3</v>
      </c>
    </row>
    <row r="22" spans="1:9" ht="18" x14ac:dyDescent="0.25">
      <c r="A22" s="4" t="s">
        <v>4</v>
      </c>
      <c r="B22" s="5" t="s">
        <v>10</v>
      </c>
      <c r="C22" s="6" t="s">
        <v>7</v>
      </c>
      <c r="D22" s="15">
        <f t="shared" si="1"/>
        <v>5.2855275806875837E-2</v>
      </c>
      <c r="E22" s="15">
        <f t="shared" si="2"/>
        <v>2.6844741490372491E-2</v>
      </c>
      <c r="F22" s="15">
        <f t="shared" si="3"/>
        <v>2.1399749205594735E-2</v>
      </c>
      <c r="G22" s="15">
        <f t="shared" si="4"/>
        <v>1.0458064021959606E-2</v>
      </c>
      <c r="H22" s="15">
        <f t="shared" si="5"/>
        <v>2.5448624873817835E-3</v>
      </c>
      <c r="I22" s="16">
        <f t="shared" si="6"/>
        <v>6.5596098814047941E-4</v>
      </c>
    </row>
    <row r="23" spans="1:9" ht="18.75" thickBot="1" x14ac:dyDescent="0.3">
      <c r="A23" s="9" t="s">
        <v>3</v>
      </c>
      <c r="B23" s="10"/>
      <c r="C23" s="10"/>
      <c r="D23" s="17">
        <f t="shared" si="1"/>
        <v>0.33790013502711969</v>
      </c>
      <c r="E23" s="17">
        <f t="shared" si="2"/>
        <v>0.35608942836671936</v>
      </c>
      <c r="F23" s="17">
        <f t="shared" si="3"/>
        <v>0.39736754458278595</v>
      </c>
      <c r="G23" s="17">
        <f t="shared" si="4"/>
        <v>0.43699773715768891</v>
      </c>
      <c r="H23" s="17">
        <f t="shared" si="5"/>
        <v>0.45739555606681137</v>
      </c>
      <c r="I23" s="18">
        <f t="shared" si="6"/>
        <v>0.45773603480580521</v>
      </c>
    </row>
    <row r="24" spans="1:9" x14ac:dyDescent="0.25">
      <c r="D24" s="14">
        <f>SUM(D15:D23)</f>
        <v>0.99998182548086123</v>
      </c>
      <c r="E24" s="14">
        <f t="shared" ref="E24:I24" si="7">SUM(E15:E23)</f>
        <v>0.99997660051410642</v>
      </c>
      <c r="F24" s="14">
        <f t="shared" si="7"/>
        <v>0.99997039225837892</v>
      </c>
      <c r="G24" s="14">
        <f t="shared" si="7"/>
        <v>0.9999591101112868</v>
      </c>
      <c r="H24" s="14">
        <f t="shared" si="7"/>
        <v>0.99994437551620297</v>
      </c>
      <c r="I24" s="14">
        <f t="shared" si="7"/>
        <v>0.99993084004643595</v>
      </c>
    </row>
  </sheetData>
  <mergeCells count="10">
    <mergeCell ref="A2:A9"/>
    <mergeCell ref="B2:B3"/>
    <mergeCell ref="B4:B5"/>
    <mergeCell ref="B6:B7"/>
    <mergeCell ref="B8:B9"/>
    <mergeCell ref="A15:A22"/>
    <mergeCell ref="B15:B16"/>
    <mergeCell ref="B17:B18"/>
    <mergeCell ref="B19:B20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Meirinho</cp:lastModifiedBy>
  <dcterms:created xsi:type="dcterms:W3CDTF">2025-04-07T19:04:12Z</dcterms:created>
  <dcterms:modified xsi:type="dcterms:W3CDTF">2025-04-09T17:29:26Z</dcterms:modified>
</cp:coreProperties>
</file>