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isel\PycharmProjects\Tcc_demografia\razao_de_suporte\"/>
    </mc:Choice>
  </mc:AlternateContent>
  <xr:revisionPtr revIDLastSave="0" documentId="13_ncr:1_{EFB968DC-DC25-433B-B29B-E7CDE8C7D75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18" i="1"/>
  <c r="E17" i="1"/>
  <c r="E16" i="1"/>
  <c r="E15" i="1"/>
  <c r="E14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<sst xmlns="http://schemas.openxmlformats.org/spreadsheetml/2006/main" count="7" uniqueCount="5">
  <si>
    <t>Ano</t>
  </si>
  <si>
    <t>Razão de Suporte</t>
  </si>
  <si>
    <t>Taxa de Crescimento anual Composto</t>
  </si>
  <si>
    <t>-</t>
  </si>
  <si>
    <t>PIB per capita (R$ Mil - constantes de 2010)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</si>
</sst>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b/>
      <sz val="12"/>
      <name val="Aptos Narrow"/>
      <family val="2"/>
    </font>
    <font>
      <b/>
      <sz val="11"/>
      <color theme="1"/>
      <name val="Calibri"/>
      <family val="2"/>
      <scheme val="minor"/>
    </font>
    <font>
      <sz val="12"/>
      <name val="Aptos Narrow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2" xfId="0" applyFont="1" applyBorder="1" applyAlignment="1">
      <alignment horizontal="center"/>
    </xf>
    <xf numFmtId="10" fontId="3" fillId="0" borderId="3" xfId="1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10" fontId="0" fillId="0" borderId="3" xfId="1" applyNumberFormat="1" applyFont="1" applyBorder="1" applyAlignment="1">
      <alignment horizontal="center"/>
    </xf>
    <xf numFmtId="0" fontId="0" fillId="0" borderId="8" xfId="0" applyBorder="1" applyAlignment="1">
      <alignment vertical="center" wrapText="1"/>
    </xf>
    <xf numFmtId="0" fontId="0" fillId="0" borderId="4" xfId="0" applyBorder="1"/>
    <xf numFmtId="164" fontId="0" fillId="0" borderId="11" xfId="0" applyNumberFormat="1" applyBorder="1" applyAlignment="1">
      <alignment horizontal="center" vertical="center" wrapText="1"/>
    </xf>
    <xf numFmtId="164" fontId="0" fillId="0" borderId="12" xfId="0" applyNumberFormat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6" fillId="0" borderId="13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E19"/>
  <sheetViews>
    <sheetView showGridLines="0" tabSelected="1" zoomScale="130" zoomScaleNormal="130" workbookViewId="0">
      <selection activeCell="C3" sqref="C3"/>
    </sheetView>
  </sheetViews>
  <sheetFormatPr defaultRowHeight="15" x14ac:dyDescent="0.25"/>
  <cols>
    <col min="1" max="1" width="5" bestFit="1" customWidth="1"/>
    <col min="2" max="2" width="22.140625" customWidth="1"/>
    <col min="4" max="4" width="21.42578125" customWidth="1"/>
    <col min="5" max="5" width="36.85546875" bestFit="1" customWidth="1"/>
  </cols>
  <sheetData>
    <row r="1" spans="3:5" ht="15.75" thickBot="1" x14ac:dyDescent="0.3"/>
    <row r="2" spans="3:5" ht="15.75" x14ac:dyDescent="0.25">
      <c r="C2" s="4" t="s">
        <v>0</v>
      </c>
      <c r="D2" s="5" t="s">
        <v>1</v>
      </c>
      <c r="E2" s="1" t="s">
        <v>2</v>
      </c>
    </row>
    <row r="3" spans="3:5" ht="15.75" x14ac:dyDescent="0.25">
      <c r="C3" s="14">
        <v>2022</v>
      </c>
      <c r="D3" s="16">
        <v>2.2373629780000002</v>
      </c>
      <c r="E3" s="2">
        <f t="shared" ref="E3:E7" si="0" xml:space="preserve"> (D3 / D4)^(1 / 10) - 1</f>
        <v>-3.7000950297330082E-3</v>
      </c>
    </row>
    <row r="4" spans="3:5" ht="15.75" x14ac:dyDescent="0.25">
      <c r="C4" s="14">
        <v>2010</v>
      </c>
      <c r="D4" s="17">
        <v>2.3218574806481129</v>
      </c>
      <c r="E4" s="2">
        <f t="shared" si="0"/>
        <v>1.1655062258999926E-2</v>
      </c>
    </row>
    <row r="5" spans="3:5" ht="15.75" x14ac:dyDescent="0.25">
      <c r="C5" s="14">
        <v>2000</v>
      </c>
      <c r="D5" s="17">
        <v>2.067811603377617</v>
      </c>
      <c r="E5" s="2">
        <f t="shared" si="0"/>
        <v>7.6764305825398615E-3</v>
      </c>
    </row>
    <row r="6" spans="3:5" ht="15.75" x14ac:dyDescent="0.25">
      <c r="C6" s="14">
        <v>1991</v>
      </c>
      <c r="D6" s="17">
        <v>1.9155785358583259</v>
      </c>
      <c r="E6" s="2">
        <f t="shared" si="0"/>
        <v>7.2388306885824427E-3</v>
      </c>
    </row>
    <row r="7" spans="3:5" ht="15.75" x14ac:dyDescent="0.25">
      <c r="C7" s="14">
        <v>1980</v>
      </c>
      <c r="D7" s="17">
        <v>1.782277647151707</v>
      </c>
      <c r="E7" s="2">
        <f t="shared" si="0"/>
        <v>3.2101091530111869E-2</v>
      </c>
    </row>
    <row r="8" spans="3:5" ht="15.75" x14ac:dyDescent="0.25">
      <c r="C8" s="14">
        <v>1970</v>
      </c>
      <c r="D8" s="17">
        <v>1.2994302922529251</v>
      </c>
      <c r="E8" s="2">
        <f xml:space="preserve"> (D8 / D9)^(1 / 10) - 1</f>
        <v>7.5541145140542998E-3</v>
      </c>
    </row>
    <row r="9" spans="3:5" ht="16.5" thickBot="1" x14ac:dyDescent="0.3">
      <c r="C9" s="15">
        <v>1960</v>
      </c>
      <c r="D9" s="18">
        <v>1.2052279039372651</v>
      </c>
      <c r="E9" s="3" t="s">
        <v>3</v>
      </c>
    </row>
    <row r="12" spans="3:5" ht="15.75" thickBot="1" x14ac:dyDescent="0.3"/>
    <row r="13" spans="3:5" ht="30" x14ac:dyDescent="0.25">
      <c r="C13" s="6" t="s">
        <v>0</v>
      </c>
      <c r="D13" s="7" t="s">
        <v>4</v>
      </c>
      <c r="E13" s="1" t="s">
        <v>2</v>
      </c>
    </row>
    <row r="14" spans="3:5" x14ac:dyDescent="0.25">
      <c r="C14" s="8">
        <v>2010</v>
      </c>
      <c r="D14" s="12">
        <v>28.134</v>
      </c>
      <c r="E14" s="9">
        <f xml:space="preserve"> (D14 / D15)^(1 / 10) - 1</f>
        <v>2.7033162791539667E-2</v>
      </c>
    </row>
    <row r="15" spans="3:5" x14ac:dyDescent="0.25">
      <c r="C15" s="8">
        <v>2000</v>
      </c>
      <c r="D15" s="12">
        <v>21.547000000000001</v>
      </c>
      <c r="E15" s="9">
        <f xml:space="preserve"> (D15 / D16)^(1 / 10) - 1</f>
        <v>-1.5233355422892281E-3</v>
      </c>
    </row>
    <row r="16" spans="3:5" x14ac:dyDescent="0.25">
      <c r="C16" s="8">
        <v>1991</v>
      </c>
      <c r="D16" s="12">
        <v>21.878</v>
      </c>
      <c r="E16" s="9">
        <f xml:space="preserve"> (D16 / D17)^(1 / 10) - 1</f>
        <v>-4.0888085242101191E-3</v>
      </c>
    </row>
    <row r="17" spans="3:5" x14ac:dyDescent="0.25">
      <c r="C17" s="8">
        <v>1980</v>
      </c>
      <c r="D17" s="12">
        <v>22.792999999999999</v>
      </c>
      <c r="E17" s="9">
        <f xml:space="preserve"> (D17 / D18)^(1 / 10) - 1</f>
        <v>4.1292975471554527E-2</v>
      </c>
    </row>
    <row r="18" spans="3:5" x14ac:dyDescent="0.25">
      <c r="C18" s="8">
        <v>1970</v>
      </c>
      <c r="D18" s="12">
        <v>15.208</v>
      </c>
      <c r="E18" s="9">
        <f xml:space="preserve"> (D18 / D19)^(1 / 10) - 1</f>
        <v>2.7442834573832675E-2</v>
      </c>
    </row>
    <row r="19" spans="3:5" ht="15.75" thickBot="1" x14ac:dyDescent="0.3">
      <c r="C19" s="10">
        <v>1960</v>
      </c>
      <c r="D19" s="13">
        <v>11.601000000000001</v>
      </c>
      <c r="E19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Meirinho</cp:lastModifiedBy>
  <dcterms:created xsi:type="dcterms:W3CDTF">2024-12-28T18:09:08Z</dcterms:created>
  <dcterms:modified xsi:type="dcterms:W3CDTF">2026-03-04T01:55:54Z</dcterms:modified>
</cp:coreProperties>
</file>